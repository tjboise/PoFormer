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zhangtianjie/Documents/GitHub/PiT/"/>
    </mc:Choice>
  </mc:AlternateContent>
  <xr:revisionPtr revIDLastSave="0" documentId="13_ncr:1_{7D81D3EC-26AF-4D4D-A8C1-19DF3B7B8B31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1" l="1"/>
  <c r="X16" i="1"/>
  <c r="V16" i="1"/>
  <c r="W14" i="1"/>
  <c r="X14" i="1"/>
  <c r="V14" i="1"/>
  <c r="W11" i="1"/>
  <c r="X11" i="1"/>
  <c r="V11" i="1"/>
  <c r="W8" i="1"/>
  <c r="X8" i="1"/>
  <c r="V8" i="1"/>
  <c r="W5" i="1"/>
  <c r="X5" i="1"/>
  <c r="V5" i="1"/>
  <c r="W2" i="1"/>
  <c r="X2" i="1"/>
  <c r="V2" i="1"/>
  <c r="S16" i="1"/>
  <c r="S14" i="1"/>
  <c r="S11" i="1"/>
  <c r="S8" i="1"/>
  <c r="S5" i="1"/>
  <c r="S2" i="1"/>
  <c r="U16" i="1"/>
  <c r="T16" i="1"/>
  <c r="U14" i="1"/>
  <c r="T14" i="1"/>
  <c r="U8" i="1"/>
  <c r="U11" i="1"/>
  <c r="T11" i="1"/>
  <c r="T8" i="1"/>
  <c r="U5" i="1"/>
  <c r="T5" i="1"/>
  <c r="U2" i="1"/>
  <c r="T2" i="1"/>
  <c r="R16" i="1"/>
  <c r="Q16" i="1"/>
  <c r="R14" i="1"/>
  <c r="Q14" i="1"/>
  <c r="R11" i="1"/>
  <c r="Q11" i="1"/>
  <c r="R8" i="1"/>
  <c r="Q8" i="1"/>
  <c r="R5" i="1"/>
  <c r="Q5" i="1"/>
  <c r="R2" i="1"/>
  <c r="Q2" i="1"/>
  <c r="M13" i="1"/>
  <c r="D13" i="1"/>
  <c r="M6" i="1"/>
  <c r="D6" i="1"/>
  <c r="M5" i="1"/>
  <c r="D5" i="1"/>
  <c r="M3" i="1"/>
  <c r="M4" i="1"/>
  <c r="M7" i="1"/>
  <c r="M8" i="1"/>
  <c r="M9" i="1"/>
  <c r="M10" i="1"/>
  <c r="M11" i="1"/>
  <c r="M12" i="1"/>
  <c r="M14" i="1"/>
  <c r="M15" i="1"/>
  <c r="M16" i="1"/>
  <c r="M17" i="1"/>
  <c r="M2" i="1"/>
  <c r="D17" i="1"/>
  <c r="D16" i="1"/>
  <c r="D15" i="1"/>
  <c r="D14" i="1"/>
  <c r="D12" i="1"/>
  <c r="D11" i="1"/>
  <c r="D10" i="1"/>
  <c r="D9" i="1"/>
  <c r="D8" i="1"/>
  <c r="D7" i="1"/>
  <c r="D4" i="1"/>
  <c r="D3" i="1"/>
  <c r="D2" i="1"/>
</calcChain>
</file>

<file path=xl/sharedStrings.xml><?xml version="1.0" encoding="utf-8"?>
<sst xmlns="http://schemas.openxmlformats.org/spreadsheetml/2006/main" count="55" uniqueCount="50">
  <si>
    <t>Models</t>
  </si>
  <si>
    <t>P</t>
  </si>
  <si>
    <t>R</t>
  </si>
  <si>
    <t>F1</t>
  </si>
  <si>
    <t>IoU of pathole</t>
  </si>
  <si>
    <t>mIoU</t>
  </si>
  <si>
    <t>mPA</t>
  </si>
  <si>
    <t>Accuracy</t>
  </si>
  <si>
    <t>training time</t>
  </si>
  <si>
    <t>parameters</t>
  </si>
  <si>
    <t>memory</t>
  </si>
  <si>
    <t>reference time</t>
  </si>
  <si>
    <t>batchsize</t>
  </si>
  <si>
    <t>epochs</t>
  </si>
  <si>
    <t>Enet-1</t>
  </si>
  <si>
    <t>Unet-1</t>
  </si>
  <si>
    <t>Unet-2</t>
  </si>
  <si>
    <t>Enet-2</t>
  </si>
  <si>
    <t>Enet-3</t>
  </si>
  <si>
    <t>Unet-3</t>
  </si>
  <si>
    <t>LRASPP-1</t>
  </si>
  <si>
    <t>LRASPP-2</t>
  </si>
  <si>
    <t>LRASPP-3</t>
  </si>
  <si>
    <t>FCN-1</t>
  </si>
  <si>
    <t>FCN-2</t>
  </si>
  <si>
    <t>Attunet-1</t>
  </si>
  <si>
    <t>Attunet-2</t>
  </si>
  <si>
    <t>transformer-1</t>
  </si>
  <si>
    <t>transformer-2</t>
  </si>
  <si>
    <t>FCN-3</t>
  </si>
  <si>
    <t>FPS</t>
  </si>
  <si>
    <t>FCN</t>
  </si>
  <si>
    <t>LRASPP</t>
  </si>
  <si>
    <t>mIoU-mean</t>
  </si>
  <si>
    <t>mPA-mean</t>
  </si>
  <si>
    <t>mPA-std</t>
  </si>
  <si>
    <t>No.</t>
  </si>
  <si>
    <t>Batch size</t>
  </si>
  <si>
    <t>Learning rate</t>
  </si>
  <si>
    <t>mIoU-std</t>
  </si>
  <si>
    <t>mIou-mean</t>
  </si>
  <si>
    <t>miou-std</t>
  </si>
  <si>
    <t>FPS-avg</t>
  </si>
  <si>
    <t>PoFormer</t>
  </si>
  <si>
    <t>E-Net</t>
  </si>
  <si>
    <t>U-Net</t>
  </si>
  <si>
    <t>AttuNet</t>
  </si>
  <si>
    <t>p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</si>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</sst>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1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0"/>
  <sheetViews>
    <sheetView tabSelected="1" workbookViewId="0">
      <selection activeCell="D9" sqref="D9"/>
    </sheetView>
  </sheetViews>
  <sheetFormatPr baseColWidth="10" defaultColWidth="12.6640625" defaultRowHeight="15.75" customHeight="1" x14ac:dyDescent="0.15"/>
  <cols>
    <col min="2" max="2" width="8" customWidth="1"/>
    <col min="3" max="3" width="8.6640625" customWidth="1"/>
    <col min="4" max="4" width="11.1640625" customWidth="1"/>
    <col min="5" max="6" width="10" customWidth="1"/>
    <col min="7" max="7" width="9" customWidth="1"/>
    <col min="8" max="8" width="8" customWidth="1"/>
    <col min="10" max="10" width="10.5" customWidth="1"/>
    <col min="11" max="11" width="10.1640625" customWidth="1"/>
    <col min="14" max="14" width="6.1640625" customWidth="1"/>
    <col min="15" max="15" width="5.33203125" customWidth="1"/>
    <col min="16" max="16" width="4.83203125" customWidth="1"/>
  </cols>
  <sheetData>
    <row r="1" spans="1:2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30</v>
      </c>
      <c r="N1" s="1" t="s">
        <v>12</v>
      </c>
      <c r="O1" s="1" t="s">
        <v>13</v>
      </c>
      <c r="Q1" s="1" t="s">
        <v>34</v>
      </c>
      <c r="R1" s="1" t="s">
        <v>35</v>
      </c>
      <c r="S1" s="1" t="s">
        <v>42</v>
      </c>
      <c r="T1" s="1" t="s">
        <v>40</v>
      </c>
      <c r="U1" s="1" t="s">
        <v>41</v>
      </c>
      <c r="V1" s="1" t="s">
        <v>47</v>
      </c>
      <c r="W1" s="1" t="s">
        <v>48</v>
      </c>
      <c r="X1" s="1" t="s">
        <v>49</v>
      </c>
    </row>
    <row r="2" spans="1:24" ht="15.75" customHeight="1" x14ac:dyDescent="0.15">
      <c r="A2" s="1" t="s">
        <v>14</v>
      </c>
      <c r="B2" s="1">
        <v>84.91</v>
      </c>
      <c r="C2" s="1">
        <v>62.93</v>
      </c>
      <c r="D2" s="1">
        <f t="shared" ref="D2:D17" si="0">2*B2*C2/(B2+C2)</f>
        <v>72.286070075757578</v>
      </c>
      <c r="E2" s="1">
        <v>56.6</v>
      </c>
      <c r="F2" s="1">
        <v>72.33</v>
      </c>
      <c r="G2" s="1">
        <v>79.94</v>
      </c>
      <c r="H2" s="1">
        <v>89.67</v>
      </c>
      <c r="I2" s="1">
        <v>4430.2702848911204</v>
      </c>
      <c r="J2" s="1">
        <v>355538</v>
      </c>
      <c r="K2" s="1">
        <v>3196928</v>
      </c>
      <c r="L2" s="1">
        <v>4.4949610694115898E-2</v>
      </c>
      <c r="M2" s="1">
        <f>1/L2</f>
        <v>22.247133725029222</v>
      </c>
      <c r="N2" s="1">
        <v>16</v>
      </c>
      <c r="O2" s="1">
        <v>300</v>
      </c>
      <c r="Q2">
        <f>AVERAGE(G2:G4)</f>
        <v>81.663333333333327</v>
      </c>
      <c r="R2">
        <f>STDEV(G2:G4)</f>
        <v>1.5124263067446737</v>
      </c>
      <c r="S2" s="2">
        <f>AVERAGE(M2:M4)</f>
        <v>24.336966881982921</v>
      </c>
      <c r="T2">
        <f>AVERAGE(F2:F4)</f>
        <v>73.81</v>
      </c>
      <c r="U2">
        <f>STDEV(F2:F4)</f>
        <v>1.2842118205342912</v>
      </c>
      <c r="V2">
        <f>AVERAGE(B2:B4)</f>
        <v>83.77</v>
      </c>
      <c r="W2">
        <f t="shared" ref="W2:X2" si="1">AVERAGE(C2:C4)</f>
        <v>66.87</v>
      </c>
      <c r="X2">
        <f t="shared" si="1"/>
        <v>74.313200372751382</v>
      </c>
    </row>
    <row r="3" spans="1:24" ht="15.75" customHeight="1" x14ac:dyDescent="0.15">
      <c r="A3" s="1" t="s">
        <v>17</v>
      </c>
      <c r="B3" s="1">
        <v>81.91</v>
      </c>
      <c r="C3" s="1">
        <v>69.73</v>
      </c>
      <c r="D3" s="1">
        <f t="shared" si="0"/>
        <v>75.330840147718291</v>
      </c>
      <c r="E3" s="1">
        <v>60.42</v>
      </c>
      <c r="F3" s="1">
        <v>74.47</v>
      </c>
      <c r="G3" s="1">
        <v>82.77</v>
      </c>
      <c r="H3" s="1">
        <v>90.23</v>
      </c>
      <c r="I3" s="1">
        <v>4299.9552941322299</v>
      </c>
      <c r="J3" s="1">
        <v>355538</v>
      </c>
      <c r="K3" s="1">
        <v>3196928</v>
      </c>
      <c r="L3" s="1">
        <v>4.1122070881498898E-2</v>
      </c>
      <c r="M3" s="1">
        <f t="shared" ref="M3:M17" si="2">1/L3</f>
        <v>24.317841455059281</v>
      </c>
      <c r="N3" s="1">
        <v>16</v>
      </c>
      <c r="O3" s="1">
        <v>300</v>
      </c>
    </row>
    <row r="4" spans="1:24" ht="15.75" customHeight="1" x14ac:dyDescent="0.15">
      <c r="A4" s="1" t="s">
        <v>18</v>
      </c>
      <c r="B4" s="1">
        <v>84.49</v>
      </c>
      <c r="C4" s="1">
        <v>67.95</v>
      </c>
      <c r="D4" s="1">
        <f t="shared" si="0"/>
        <v>75.322690894778262</v>
      </c>
      <c r="E4" s="1">
        <v>60.41</v>
      </c>
      <c r="F4" s="1">
        <v>74.63</v>
      </c>
      <c r="G4" s="1">
        <v>82.28</v>
      </c>
      <c r="H4" s="1">
        <v>90.47</v>
      </c>
      <c r="I4" s="1">
        <v>4267.0783486366199</v>
      </c>
      <c r="J4" s="1">
        <v>355538</v>
      </c>
      <c r="K4" s="1">
        <v>3196928</v>
      </c>
      <c r="L4" s="1">
        <v>3.7813008332452797E-2</v>
      </c>
      <c r="M4" s="1">
        <f t="shared" si="2"/>
        <v>26.44592546586027</v>
      </c>
      <c r="N4" s="1">
        <v>16</v>
      </c>
      <c r="O4" s="1">
        <v>300</v>
      </c>
    </row>
    <row r="5" spans="1:24" ht="15.75" customHeight="1" x14ac:dyDescent="0.15">
      <c r="A5" s="1" t="s">
        <v>15</v>
      </c>
      <c r="B5" s="1">
        <v>85.02</v>
      </c>
      <c r="C5" s="1">
        <v>56.97</v>
      </c>
      <c r="D5" s="1">
        <f t="shared" si="0"/>
        <v>68.224373547432904</v>
      </c>
      <c r="E5" s="1">
        <v>51.77</v>
      </c>
      <c r="F5" s="1">
        <v>69.42</v>
      </c>
      <c r="G5" s="1">
        <v>77.12</v>
      </c>
      <c r="H5" s="1">
        <v>88.64</v>
      </c>
      <c r="I5" s="1">
        <v>6567.3522922992697</v>
      </c>
      <c r="J5" s="1">
        <v>13394177</v>
      </c>
      <c r="K5" s="1">
        <v>108519424</v>
      </c>
      <c r="L5" s="1">
        <v>3.32106852731784E-2</v>
      </c>
      <c r="M5" s="1">
        <f t="shared" si="2"/>
        <v>30.110790902818845</v>
      </c>
      <c r="N5" s="1">
        <v>16</v>
      </c>
      <c r="O5" s="1">
        <v>300</v>
      </c>
      <c r="Q5">
        <f>AVERAGE(G5:G7)</f>
        <v>78.606666666666669</v>
      </c>
      <c r="R5">
        <f>STDEV(G5:G7)</f>
        <v>1.3078735922608604</v>
      </c>
      <c r="S5">
        <f>AVERAGE(M5:M7)</f>
        <v>30.51331740869249</v>
      </c>
      <c r="T5">
        <f>AVERAGE(F5:F7)</f>
        <v>71.3</v>
      </c>
      <c r="U5">
        <f>STDEV(F5:F7)</f>
        <v>1.6306133815224257</v>
      </c>
      <c r="V5">
        <f>AVERAGE(B5:B7)</f>
        <v>86.779999999999987</v>
      </c>
      <c r="W5">
        <f t="shared" ref="W5:X5" si="3">AVERAGE(C5:C7)</f>
        <v>59.680000000000007</v>
      </c>
      <c r="X5">
        <f t="shared" si="3"/>
        <v>70.712318474636305</v>
      </c>
    </row>
    <row r="6" spans="1:24" ht="15.75" customHeight="1" x14ac:dyDescent="0.15">
      <c r="A6" s="1" t="s">
        <v>16</v>
      </c>
      <c r="B6" s="1">
        <v>86.81</v>
      </c>
      <c r="C6" s="1">
        <v>61.71</v>
      </c>
      <c r="D6" s="1">
        <f t="shared" si="0"/>
        <v>72.139039859951524</v>
      </c>
      <c r="E6" s="1">
        <v>56.42</v>
      </c>
      <c r="F6" s="1">
        <v>72.33</v>
      </c>
      <c r="G6" s="1">
        <v>79.58</v>
      </c>
      <c r="H6" s="1">
        <v>89.8</v>
      </c>
      <c r="I6" s="1">
        <v>6559.4465835094397</v>
      </c>
      <c r="J6" s="1">
        <v>13394177</v>
      </c>
      <c r="K6" s="1">
        <v>108519424</v>
      </c>
      <c r="L6" s="1">
        <v>3.3368957142869901E-2</v>
      </c>
      <c r="M6" s="1">
        <f t="shared" si="2"/>
        <v>29.967972799343976</v>
      </c>
      <c r="N6" s="1">
        <v>16</v>
      </c>
      <c r="O6" s="1">
        <v>300</v>
      </c>
    </row>
    <row r="7" spans="1:24" ht="15.75" customHeight="1" x14ac:dyDescent="0.15">
      <c r="A7" s="1" t="s">
        <v>19</v>
      </c>
      <c r="B7" s="1">
        <v>88.51</v>
      </c>
      <c r="C7" s="1">
        <v>60.36</v>
      </c>
      <c r="D7" s="1">
        <f t="shared" si="0"/>
        <v>71.773542016524488</v>
      </c>
      <c r="E7" s="1">
        <v>55.98</v>
      </c>
      <c r="F7" s="1">
        <v>72.150000000000006</v>
      </c>
      <c r="G7" s="1">
        <v>79.12</v>
      </c>
      <c r="H7" s="1">
        <v>89.84</v>
      </c>
      <c r="I7" s="1">
        <v>6559.8880240917197</v>
      </c>
      <c r="J7" s="1">
        <v>13394177</v>
      </c>
      <c r="K7" s="1">
        <v>108519424</v>
      </c>
      <c r="L7" s="1">
        <v>3.1785194613352503E-2</v>
      </c>
      <c r="M7" s="1">
        <f t="shared" si="2"/>
        <v>31.461188523914664</v>
      </c>
      <c r="N7" s="1">
        <v>16</v>
      </c>
      <c r="O7" s="1">
        <v>300</v>
      </c>
    </row>
    <row r="8" spans="1:24" ht="15.75" customHeight="1" x14ac:dyDescent="0.15">
      <c r="A8" s="1" t="s">
        <v>20</v>
      </c>
      <c r="B8" s="1">
        <v>85.31</v>
      </c>
      <c r="C8" s="1">
        <v>73.209999999999994</v>
      </c>
      <c r="D8" s="1">
        <f t="shared" si="0"/>
        <v>78.798197072924552</v>
      </c>
      <c r="E8" s="1">
        <v>65.02</v>
      </c>
      <c r="F8" s="1">
        <v>77.510000000000005</v>
      </c>
      <c r="G8" s="1">
        <v>84.49</v>
      </c>
      <c r="H8" s="1">
        <v>91.57</v>
      </c>
      <c r="I8" s="1">
        <v>5661.7712264060901</v>
      </c>
      <c r="J8" s="1">
        <v>3217850</v>
      </c>
      <c r="K8" s="1">
        <v>25959936</v>
      </c>
      <c r="L8" s="1">
        <v>3.23594808578491E-2</v>
      </c>
      <c r="M8" s="1">
        <f t="shared" si="2"/>
        <v>30.902844343914758</v>
      </c>
      <c r="N8" s="1">
        <v>16</v>
      </c>
      <c r="O8" s="1">
        <v>600</v>
      </c>
      <c r="Q8">
        <f>AVERAGE(G8:G10)</f>
        <v>84.243333333333325</v>
      </c>
      <c r="R8">
        <f>STDEV(G8:G10)</f>
        <v>0.21571586249817379</v>
      </c>
      <c r="S8">
        <f>M8:M10</f>
        <v>30.902844343914758</v>
      </c>
      <c r="T8">
        <f>AVERAGE(F8:F10)</f>
        <v>77.193333333333342</v>
      </c>
      <c r="U8">
        <f>STDEV(F8:F10)</f>
        <v>0.31021497922140173</v>
      </c>
      <c r="V8">
        <f>AVERAGE(B8:B10)</f>
        <v>86.103333333333339</v>
      </c>
      <c r="W8">
        <f t="shared" ref="W8:X8" si="4">AVERAGE(C8:C10)</f>
        <v>71.913333333333327</v>
      </c>
      <c r="X8">
        <f t="shared" si="4"/>
        <v>78.363607690292113</v>
      </c>
    </row>
    <row r="9" spans="1:24" ht="15.75" customHeight="1" x14ac:dyDescent="0.15">
      <c r="A9" s="1" t="s">
        <v>21</v>
      </c>
      <c r="B9" s="1">
        <v>86.08</v>
      </c>
      <c r="C9" s="1">
        <v>71.31</v>
      </c>
      <c r="D9" s="1">
        <f t="shared" si="0"/>
        <v>78.001967088125056</v>
      </c>
      <c r="E9" s="1">
        <v>63.94</v>
      </c>
      <c r="F9" s="1">
        <v>76.89</v>
      </c>
      <c r="G9" s="1">
        <v>84.09</v>
      </c>
      <c r="H9" s="1">
        <v>91.39</v>
      </c>
      <c r="I9" s="1">
        <v>5626.0064003467496</v>
      </c>
      <c r="J9" s="1">
        <v>3217850</v>
      </c>
      <c r="K9" s="1">
        <v>25959936</v>
      </c>
      <c r="L9" s="1">
        <v>3.2467742927935903E-2</v>
      </c>
      <c r="M9" s="1">
        <f t="shared" si="2"/>
        <v>30.799800350137051</v>
      </c>
      <c r="N9" s="1">
        <v>16</v>
      </c>
      <c r="O9" s="1">
        <v>600</v>
      </c>
    </row>
    <row r="10" spans="1:24" ht="15.75" customHeight="1" x14ac:dyDescent="0.15">
      <c r="A10" s="1" t="s">
        <v>22</v>
      </c>
      <c r="B10" s="1">
        <v>86.92</v>
      </c>
      <c r="C10" s="1">
        <v>71.22</v>
      </c>
      <c r="D10" s="1">
        <f t="shared" si="0"/>
        <v>78.290658909826746</v>
      </c>
      <c r="E10" s="1">
        <v>64.33</v>
      </c>
      <c r="F10" s="1">
        <v>77.180000000000007</v>
      </c>
      <c r="G10" s="1">
        <v>84.15</v>
      </c>
      <c r="H10" s="1">
        <v>91.55</v>
      </c>
      <c r="I10" s="1">
        <v>5745.1884257793399</v>
      </c>
      <c r="J10" s="1">
        <v>3217850</v>
      </c>
      <c r="K10" s="1">
        <v>25959936</v>
      </c>
      <c r="L10" s="1">
        <v>3.7345444454866199E-2</v>
      </c>
      <c r="M10" s="1">
        <f t="shared" si="2"/>
        <v>26.777027682949363</v>
      </c>
      <c r="N10" s="1">
        <v>16</v>
      </c>
      <c r="O10" s="1">
        <v>600</v>
      </c>
    </row>
    <row r="11" spans="1:24" ht="15.75" customHeight="1" x14ac:dyDescent="0.15">
      <c r="A11" s="1" t="s">
        <v>23</v>
      </c>
      <c r="B11" s="1">
        <v>87.21</v>
      </c>
      <c r="C11" s="1">
        <v>69.209999999999994</v>
      </c>
      <c r="D11" s="1">
        <f t="shared" si="0"/>
        <v>77.174326812428077</v>
      </c>
      <c r="E11" s="1">
        <v>62.83</v>
      </c>
      <c r="F11" s="4">
        <v>76.27</v>
      </c>
      <c r="G11" s="4">
        <v>83.22</v>
      </c>
      <c r="H11" s="1">
        <v>91.24</v>
      </c>
      <c r="I11" s="1">
        <v>11361.976635456</v>
      </c>
      <c r="J11" s="1">
        <v>32940481</v>
      </c>
      <c r="K11" s="1">
        <v>268498944</v>
      </c>
      <c r="L11" s="1">
        <v>3.8225473476057197E-2</v>
      </c>
      <c r="M11" s="1">
        <f t="shared" si="2"/>
        <v>26.160565430964702</v>
      </c>
      <c r="N11" s="1">
        <v>16</v>
      </c>
      <c r="O11" s="1">
        <v>600</v>
      </c>
      <c r="Q11" s="4">
        <f>AVERAGE(G11:G13)</f>
        <v>84.483333333333334</v>
      </c>
      <c r="R11" s="4">
        <f>STDEV(G11:G13)</f>
        <v>1.1385224342687938</v>
      </c>
      <c r="S11" s="4">
        <f>AVERAGE(M11:M13)</f>
        <v>25.368931535229944</v>
      </c>
      <c r="T11" s="4">
        <f>AVERAGE(F11:F13)</f>
        <v>77.233333333333334</v>
      </c>
      <c r="U11" s="4">
        <f>STDEV(F11:F13)</f>
        <v>0.84085274176477121</v>
      </c>
      <c r="V11">
        <f>AVERAGE(B11:B13)</f>
        <v>85.916666666666671</v>
      </c>
      <c r="W11">
        <f t="shared" ref="W11:X11" si="5">AVERAGE(C11:C13)</f>
        <v>72.2</v>
      </c>
      <c r="X11">
        <f t="shared" si="5"/>
        <v>78.426363556397902</v>
      </c>
    </row>
    <row r="12" spans="1:24" ht="15.75" customHeight="1" x14ac:dyDescent="0.15">
      <c r="A12" s="1" t="s">
        <v>24</v>
      </c>
      <c r="B12" s="1">
        <v>84.5</v>
      </c>
      <c r="C12" s="1">
        <v>74.58</v>
      </c>
      <c r="D12" s="1">
        <f t="shared" si="0"/>
        <v>79.23070153381947</v>
      </c>
      <c r="E12" s="1">
        <v>65.61</v>
      </c>
      <c r="F12" s="4">
        <v>77.819999999999993</v>
      </c>
      <c r="G12" s="4">
        <v>85.43</v>
      </c>
      <c r="H12" s="1">
        <v>91.63</v>
      </c>
      <c r="I12" s="1">
        <v>11537.523748159399</v>
      </c>
      <c r="J12" s="1">
        <v>32940481</v>
      </c>
      <c r="K12" s="1">
        <v>268498944</v>
      </c>
      <c r="L12" s="1">
        <v>4.1007912459493603E-2</v>
      </c>
      <c r="M12" s="1">
        <f t="shared" si="2"/>
        <v>24.385537815117271</v>
      </c>
      <c r="N12" s="1">
        <v>16</v>
      </c>
      <c r="O12" s="1">
        <v>600</v>
      </c>
    </row>
    <row r="13" spans="1:24" ht="15.75" customHeight="1" x14ac:dyDescent="0.15">
      <c r="A13" s="1" t="s">
        <v>29</v>
      </c>
      <c r="B13" s="1">
        <v>86.04</v>
      </c>
      <c r="C13" s="1">
        <v>72.81</v>
      </c>
      <c r="D13" s="1">
        <f t="shared" ref="D13" si="6">2*B13*C13/(B13+C13)</f>
        <v>78.874062322946173</v>
      </c>
      <c r="E13" s="1">
        <v>65.12</v>
      </c>
      <c r="F13" s="4">
        <v>77.61</v>
      </c>
      <c r="G13" s="4">
        <v>84.8</v>
      </c>
      <c r="H13" s="1">
        <v>91.65</v>
      </c>
      <c r="I13" s="1">
        <v>5783.2456586360904</v>
      </c>
      <c r="J13" s="1">
        <v>32940481</v>
      </c>
      <c r="K13" s="1">
        <v>268498944</v>
      </c>
      <c r="L13" s="1">
        <v>3.9122572466104899E-2</v>
      </c>
      <c r="M13" s="1">
        <f t="shared" si="2"/>
        <v>25.560691359607862</v>
      </c>
      <c r="N13" s="1">
        <v>16</v>
      </c>
      <c r="O13" s="1">
        <v>300</v>
      </c>
    </row>
    <row r="14" spans="1:24" ht="15.75" customHeight="1" x14ac:dyDescent="0.15">
      <c r="A14" s="1" t="s">
        <v>25</v>
      </c>
      <c r="B14" s="1">
        <v>85.93</v>
      </c>
      <c r="C14" s="1">
        <v>69.290000000000006</v>
      </c>
      <c r="D14" s="1">
        <f t="shared" si="0"/>
        <v>76.718073701842556</v>
      </c>
      <c r="E14" s="1">
        <v>62.23</v>
      </c>
      <c r="F14" s="1">
        <v>75.83</v>
      </c>
      <c r="G14" s="1">
        <v>83.1</v>
      </c>
      <c r="H14" s="1">
        <v>91</v>
      </c>
      <c r="I14" s="1">
        <v>21025.114423990199</v>
      </c>
      <c r="J14" s="1">
        <v>34877421</v>
      </c>
      <c r="K14" s="1">
        <v>284906496</v>
      </c>
      <c r="L14" s="1">
        <v>4.4151579632478601E-2</v>
      </c>
      <c r="M14" s="1">
        <f t="shared" si="2"/>
        <v>22.649246263080112</v>
      </c>
      <c r="N14" s="1">
        <v>16</v>
      </c>
      <c r="O14" s="1">
        <v>600</v>
      </c>
      <c r="Q14">
        <f>AVERAGE(G14:G15)</f>
        <v>82.72999999999999</v>
      </c>
      <c r="R14">
        <f>STDEV(G14:G15)</f>
        <v>0.52325901807804154</v>
      </c>
      <c r="S14">
        <f>AVERAGE(M14:M15)</f>
        <v>23.54237646412632</v>
      </c>
      <c r="T14">
        <f>AVERAGE(F14:F15)</f>
        <v>75.47999999999999</v>
      </c>
      <c r="U14">
        <f>STDEV(F14:F15)</f>
        <v>0.49497474683058529</v>
      </c>
      <c r="V14">
        <f>AVERAGE(B14:B15)</f>
        <v>86.085000000000008</v>
      </c>
      <c r="W14">
        <f t="shared" ref="W14:X14" si="7">AVERAGE(C14:C15)</f>
        <v>68.47</v>
      </c>
      <c r="X14">
        <f t="shared" si="7"/>
        <v>76.270116193308695</v>
      </c>
    </row>
    <row r="15" spans="1:24" ht="15.75" customHeight="1" x14ac:dyDescent="0.15">
      <c r="A15" s="1" t="s">
        <v>26</v>
      </c>
      <c r="B15" s="1">
        <v>86.24</v>
      </c>
      <c r="C15" s="1">
        <v>67.650000000000006</v>
      </c>
      <c r="D15" s="1">
        <f t="shared" si="0"/>
        <v>75.822158684774848</v>
      </c>
      <c r="E15" s="1">
        <v>61.06</v>
      </c>
      <c r="F15" s="1">
        <v>75.13</v>
      </c>
      <c r="G15" s="1">
        <v>82.36</v>
      </c>
      <c r="H15" s="1">
        <v>90.77</v>
      </c>
      <c r="I15" s="1">
        <v>20971.3672869205</v>
      </c>
      <c r="J15" s="1">
        <v>34877421</v>
      </c>
      <c r="K15" s="1">
        <v>284906496</v>
      </c>
      <c r="L15" s="1">
        <v>4.0924054233967701E-2</v>
      </c>
      <c r="M15" s="1">
        <f t="shared" si="2"/>
        <v>24.435506665172532</v>
      </c>
      <c r="N15" s="1">
        <v>16</v>
      </c>
      <c r="O15" s="1">
        <v>600</v>
      </c>
    </row>
    <row r="16" spans="1:24" ht="15.75" customHeight="1" x14ac:dyDescent="0.15">
      <c r="A16" s="1" t="s">
        <v>27</v>
      </c>
      <c r="B16" s="1">
        <v>78.7</v>
      </c>
      <c r="C16" s="1">
        <v>62.21</v>
      </c>
      <c r="D16" s="1">
        <f t="shared" si="0"/>
        <v>69.490128450784198</v>
      </c>
      <c r="E16" s="1">
        <v>53.25</v>
      </c>
      <c r="F16" s="1">
        <v>69.88</v>
      </c>
      <c r="G16" s="1">
        <v>78.81</v>
      </c>
      <c r="H16" s="1">
        <v>88.31</v>
      </c>
      <c r="I16" s="1">
        <v>12763.263277530599</v>
      </c>
      <c r="J16" s="1">
        <v>45921665</v>
      </c>
      <c r="K16" s="1">
        <v>368304128</v>
      </c>
      <c r="L16" s="1">
        <v>4.5575610729826598E-2</v>
      </c>
      <c r="M16" s="1">
        <f t="shared" si="2"/>
        <v>21.941560057813067</v>
      </c>
      <c r="N16" s="1">
        <v>16</v>
      </c>
      <c r="O16" s="1">
        <v>600</v>
      </c>
      <c r="Q16">
        <f>AVERAGE(G16:G17)</f>
        <v>78.224999999999994</v>
      </c>
      <c r="R16">
        <f>STDEV(G16:G17)</f>
        <v>0.82731493398826184</v>
      </c>
      <c r="S16">
        <f>AVERAGE(M16:M17)</f>
        <v>20.474422441258341</v>
      </c>
      <c r="T16">
        <f>AVERAGE(F16:F17)</f>
        <v>69.435000000000002</v>
      </c>
      <c r="U16">
        <f>STDEV(F16:F17)</f>
        <v>0.62932503525602768</v>
      </c>
      <c r="V16">
        <f>AVERAGE(B16:B17)</f>
        <v>79.245000000000005</v>
      </c>
      <c r="W16">
        <f t="shared" ref="W16:X16" si="8">AVERAGE(C16:C17)</f>
        <v>60.795000000000002</v>
      </c>
      <c r="X16">
        <f t="shared" si="8"/>
        <v>68.789256220793405</v>
      </c>
    </row>
    <row r="17" spans="1:19" ht="15.75" customHeight="1" x14ac:dyDescent="0.15">
      <c r="A17" s="1" t="s">
        <v>28</v>
      </c>
      <c r="B17" s="1">
        <v>79.790000000000006</v>
      </c>
      <c r="C17" s="1">
        <v>59.38</v>
      </c>
      <c r="D17" s="1">
        <f t="shared" si="0"/>
        <v>68.088383990802612</v>
      </c>
      <c r="E17" s="1">
        <v>51.62</v>
      </c>
      <c r="F17" s="1">
        <v>68.989999999999995</v>
      </c>
      <c r="G17" s="1">
        <v>77.64</v>
      </c>
      <c r="H17" s="1">
        <v>88.09</v>
      </c>
      <c r="I17" s="1">
        <v>12687.1799547672</v>
      </c>
      <c r="J17" s="1">
        <v>45921665</v>
      </c>
      <c r="K17" s="1">
        <v>368304128</v>
      </c>
      <c r="L17" s="1">
        <v>5.2611407111672698E-2</v>
      </c>
      <c r="M17" s="1">
        <f t="shared" si="2"/>
        <v>19.007284824703611</v>
      </c>
      <c r="N17" s="1">
        <v>16</v>
      </c>
      <c r="O17" s="1">
        <v>600</v>
      </c>
    </row>
    <row r="19" spans="1:19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2"/>
    </row>
    <row r="20" spans="1:19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8D98-759A-3B46-A2BC-3B345748F49A}">
  <dimension ref="A1:E7"/>
  <sheetViews>
    <sheetView workbookViewId="0">
      <selection activeCell="D12" sqref="D12"/>
    </sheetView>
  </sheetViews>
  <sheetFormatPr baseColWidth="10" defaultRowHeight="13" x14ac:dyDescent="0.15"/>
  <sheetData>
    <row r="1" spans="1:5" x14ac:dyDescent="0.15">
      <c r="A1" s="2" t="s">
        <v>0</v>
      </c>
      <c r="B1" s="2" t="s">
        <v>33</v>
      </c>
      <c r="C1" s="2" t="s">
        <v>39</v>
      </c>
      <c r="D1" s="1" t="s">
        <v>34</v>
      </c>
      <c r="E1" s="1" t="s">
        <v>35</v>
      </c>
    </row>
    <row r="2" spans="1:5" x14ac:dyDescent="0.15">
      <c r="A2" s="2" t="s">
        <v>44</v>
      </c>
      <c r="B2">
        <v>73.81</v>
      </c>
      <c r="C2">
        <v>1.2842118205342912</v>
      </c>
      <c r="D2">
        <v>81.663333333333327</v>
      </c>
      <c r="E2">
        <v>1.5124263067446737</v>
      </c>
    </row>
    <row r="3" spans="1:5" x14ac:dyDescent="0.15">
      <c r="A3" s="2" t="s">
        <v>31</v>
      </c>
      <c r="B3">
        <v>69.435000000000002</v>
      </c>
      <c r="C3">
        <v>0.62932503525602768</v>
      </c>
      <c r="D3">
        <v>78.224999999999994</v>
      </c>
      <c r="E3">
        <v>0.82731493398826184</v>
      </c>
    </row>
    <row r="4" spans="1:5" x14ac:dyDescent="0.15">
      <c r="A4" s="2" t="s">
        <v>32</v>
      </c>
      <c r="B4">
        <v>76.89</v>
      </c>
      <c r="C4">
        <v>0.84085274176477121</v>
      </c>
      <c r="D4">
        <v>84.09</v>
      </c>
      <c r="E4">
        <v>1.1385224342687938</v>
      </c>
    </row>
    <row r="5" spans="1:5" x14ac:dyDescent="0.15">
      <c r="A5" s="2" t="s">
        <v>45</v>
      </c>
      <c r="B5">
        <v>71.3</v>
      </c>
      <c r="C5">
        <v>1.6306133815224257</v>
      </c>
      <c r="D5">
        <v>78.606666666666669</v>
      </c>
      <c r="E5">
        <v>1.3078735922608604</v>
      </c>
    </row>
    <row r="6" spans="1:5" x14ac:dyDescent="0.15">
      <c r="A6" s="2" t="s">
        <v>46</v>
      </c>
      <c r="B6">
        <v>75.47999999999999</v>
      </c>
      <c r="C6">
        <v>0.49497474683058529</v>
      </c>
      <c r="D6">
        <v>82.72999999999999</v>
      </c>
      <c r="E6">
        <v>0.52325901807804154</v>
      </c>
    </row>
    <row r="7" spans="1:5" x14ac:dyDescent="0.15">
      <c r="A7" s="2" t="s">
        <v>43</v>
      </c>
      <c r="B7">
        <v>77.233333333333334</v>
      </c>
      <c r="C7">
        <v>0.31021497922140173</v>
      </c>
      <c r="D7">
        <v>84.483333333333334</v>
      </c>
      <c r="E7">
        <v>0.21571586249817379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A17E-FDA4-9B45-8706-521FC8E7C483}">
  <dimension ref="A1:E10"/>
  <sheetViews>
    <sheetView workbookViewId="0">
      <selection activeCell="B18" sqref="B18"/>
    </sheetView>
  </sheetViews>
  <sheetFormatPr baseColWidth="10" defaultRowHeight="13" x14ac:dyDescent="0.15"/>
  <sheetData>
    <row r="1" spans="1:5" ht="30" x14ac:dyDescent="0.15">
      <c r="A1" s="3" t="s">
        <v>36</v>
      </c>
      <c r="B1" s="3" t="s">
        <v>13</v>
      </c>
      <c r="C1" s="3" t="s">
        <v>37</v>
      </c>
      <c r="D1" s="3" t="s">
        <v>38</v>
      </c>
      <c r="E1" s="3" t="s">
        <v>5</v>
      </c>
    </row>
    <row r="2" spans="1:5" ht="14" x14ac:dyDescent="0.15">
      <c r="A2" s="3">
        <v>1</v>
      </c>
      <c r="B2" s="3">
        <v>200</v>
      </c>
      <c r="C2" s="3">
        <v>16</v>
      </c>
      <c r="D2" s="3">
        <v>0.1</v>
      </c>
    </row>
    <row r="3" spans="1:5" ht="14" x14ac:dyDescent="0.15">
      <c r="A3" s="3">
        <v>2</v>
      </c>
      <c r="B3" s="3">
        <v>300</v>
      </c>
      <c r="C3" s="3">
        <v>32</v>
      </c>
      <c r="D3" s="3">
        <v>0.1</v>
      </c>
    </row>
    <row r="4" spans="1:5" ht="14" x14ac:dyDescent="0.15">
      <c r="A4" s="3">
        <v>3</v>
      </c>
      <c r="B4" s="3">
        <v>400</v>
      </c>
      <c r="C4" s="3">
        <v>64</v>
      </c>
      <c r="D4" s="3">
        <v>0.1</v>
      </c>
    </row>
    <row r="5" spans="1:5" ht="14" x14ac:dyDescent="0.15">
      <c r="A5" s="3">
        <v>4</v>
      </c>
      <c r="B5" s="3">
        <v>400</v>
      </c>
      <c r="C5" s="3">
        <v>32</v>
      </c>
      <c r="D5" s="3">
        <v>0.01</v>
      </c>
    </row>
    <row r="6" spans="1:5" ht="14" x14ac:dyDescent="0.15">
      <c r="A6" s="3">
        <v>5</v>
      </c>
      <c r="B6" s="3">
        <v>300</v>
      </c>
      <c r="C6" s="3">
        <v>16</v>
      </c>
      <c r="D6" s="3">
        <v>0.01</v>
      </c>
    </row>
    <row r="7" spans="1:5" ht="14" x14ac:dyDescent="0.15">
      <c r="A7" s="3">
        <v>6</v>
      </c>
      <c r="B7" s="3">
        <v>200</v>
      </c>
      <c r="C7" s="3">
        <v>64</v>
      </c>
      <c r="D7" s="3">
        <v>0.01</v>
      </c>
    </row>
    <row r="8" spans="1:5" ht="14" x14ac:dyDescent="0.15">
      <c r="A8" s="3">
        <v>7</v>
      </c>
      <c r="B8" s="3">
        <v>200</v>
      </c>
      <c r="C8" s="3">
        <v>32</v>
      </c>
      <c r="D8" s="3">
        <v>1E-3</v>
      </c>
    </row>
    <row r="9" spans="1:5" ht="14" x14ac:dyDescent="0.15">
      <c r="A9" s="3">
        <v>8</v>
      </c>
      <c r="B9" s="3">
        <v>300</v>
      </c>
      <c r="C9" s="3">
        <v>64</v>
      </c>
      <c r="D9" s="3">
        <v>1E-3</v>
      </c>
    </row>
    <row r="10" spans="1:5" ht="14" x14ac:dyDescent="0.15">
      <c r="A10" s="3">
        <v>9</v>
      </c>
      <c r="B10" s="3">
        <v>400</v>
      </c>
      <c r="C10" s="3">
        <v>16</v>
      </c>
      <c r="D10" s="3">
        <v>1E-3</v>
      </c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2024-02-13T18:56:15Z</dcterms:modified>
</cp:coreProperties>
</file>